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82AC73B7-FD07-4EFC-8691-B55BB1AE3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Grade" sheetId="1" r:id="rId1"/>
    <sheet name="sales data" sheetId="2" r:id="rId2"/>
    <sheet name="employee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J6" i="3"/>
  <c r="J4" i="3"/>
  <c r="L11" i="2"/>
  <c r="M8" i="2"/>
  <c r="L5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5" i="1"/>
  <c r="N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4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N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N2" i="1" l="1"/>
  <c r="H2" i="1"/>
  <c r="H13" i="1"/>
  <c r="H14" i="1"/>
  <c r="H21" i="1"/>
  <c r="H9" i="1"/>
  <c r="H10" i="1"/>
  <c r="H20" i="1"/>
  <c r="H8" i="1"/>
  <c r="H19" i="1"/>
  <c r="H7" i="1"/>
  <c r="H11" i="1"/>
  <c r="H18" i="1"/>
  <c r="H17" i="1"/>
  <c r="H5" i="1"/>
  <c r="H6" i="1"/>
  <c r="H12" i="1"/>
  <c r="H16" i="1"/>
  <c r="H4" i="1"/>
  <c r="H15" i="1"/>
  <c r="H3" i="1"/>
</calcChain>
</file>

<file path=xl/sharedStrings.xml><?xml version="1.0" encoding="utf-8"?>
<sst xmlns="http://schemas.openxmlformats.org/spreadsheetml/2006/main" count="158" uniqueCount="108">
  <si>
    <t>Student ID</t>
  </si>
  <si>
    <t>Name</t>
  </si>
  <si>
    <t>Math</t>
  </si>
  <si>
    <t>Science</t>
  </si>
  <si>
    <t>English</t>
  </si>
  <si>
    <t>Total</t>
  </si>
  <si>
    <t>Percentage</t>
  </si>
  <si>
    <t>Grade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</si>
  <si>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</si>
  <si>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</si>
  <si>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</si>
  <si>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</si>
  <si>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</si>
  <si>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</si>
  <si>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</si>
  <si>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</si>
  <si>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</si>
  <si>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</si>
  <si>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</si>
  <si>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</si>
  <si>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</si>
  <si>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</si>
  <si>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</si>
  <si>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</si>
  <si>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</si>
  <si>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</si>
  <si>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</si>
  <si>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</si>
  <si>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</si>
  <si>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</si>
  <si>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</si>
  <si>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Amount</t>
  </si>
  <si>
    <t>Discount</t>
  </si>
  <si>
    <t>Final Amount</t>
  </si>
  <si>
    <t>Keyboard</t>
  </si>
  <si>
    <t>South</t>
  </si>
  <si>
    <t>Mouse</t>
  </si>
  <si>
    <t>West</t>
  </si>
  <si>
    <t>Laptop</t>
  </si>
  <si>
    <t>East</t>
  </si>
  <si>
    <t>Monitor</t>
  </si>
  <si>
    <t>North</t>
  </si>
  <si>
    <t>Above 60</t>
  </si>
  <si>
    <t>above 50 in math</t>
  </si>
  <si>
    <t>Above 80</t>
  </si>
  <si>
    <t>Aveifs</t>
  </si>
  <si>
    <t>student name</t>
  </si>
  <si>
    <t>sales person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</si>
  <si>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</si>
  <si>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</si>
  <si>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</si>
  <si>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</si>
  <si>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</si>
  <si>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</si>
  <si>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</si>
  <si>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</si>
  <si>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</si>
  <si>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</si>
  <si>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</si>
  <si>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</si>
  <si>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</si>
  <si>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</si>
  <si>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</si>
  <si>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</si>
  <si>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</si>
  <si>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</si>
  <si>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</si>
  <si>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</si>
  <si>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product price</t>
  </si>
  <si>
    <t xml:space="preserve">id </t>
  </si>
  <si>
    <t xml:space="preserve"> id 2003</t>
  </si>
  <si>
    <t>product</t>
  </si>
  <si>
    <t>region</t>
  </si>
  <si>
    <t>sumif</t>
  </si>
  <si>
    <t>laptop</t>
  </si>
  <si>
    <t>south</t>
  </si>
  <si>
    <t>sale id</t>
  </si>
  <si>
    <t>position</t>
  </si>
  <si>
    <t>Emp ID</t>
  </si>
  <si>
    <t>Dept</t>
  </si>
  <si>
    <t>Salary</t>
  </si>
  <si>
    <t>Emp 1</t>
  </si>
  <si>
    <t>IT</t>
  </si>
  <si>
    <t>Emp 2</t>
  </si>
  <si>
    <t>HR</t>
  </si>
  <si>
    <t>Emp 3</t>
  </si>
  <si>
    <t>Finance</t>
  </si>
  <si>
    <t>Emp 4</t>
  </si>
  <si>
    <t>Marketing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</si>
  <si>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</si>
  <si>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</si>
  <si>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</si>
  <si>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</si>
  <si>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</si>
  <si>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</si>
  <si>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</si>
  <si>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</si>
  <si>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</si>
  <si>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Emp 14</t>
  </si>
  <si>
    <t>Emp 15</t>
  </si>
  <si>
    <t>Emp 16</t>
  </si>
  <si>
    <t>Emp 17</t>
  </si>
  <si>
    <t>Emp 18</t>
  </si>
  <si>
    <t>Emp 19</t>
  </si>
  <si>
    <t>Emp 20</t>
  </si>
  <si>
    <t>salary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</si>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</sst>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9" fontId="0" fillId="0" borderId="0" xfId="0" applyNumberForma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0" fontId="0" fillId="6" borderId="3" xfId="0" applyFill="1" applyBorder="1"/>
    <xf numFmtId="0" fontId="0" fillId="0" borderId="0" xfId="0" applyBorder="1"/>
    <xf numFmtId="0" fontId="0" fillId="8" borderId="2" xfId="0" applyFill="1" applyBorder="1"/>
    <xf numFmtId="0" fontId="2" fillId="7" borderId="2" xfId="0" applyFont="1" applyFill="1" applyBorder="1"/>
    <xf numFmtId="0" fontId="0" fillId="7" borderId="4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1" sqref="K11"/>
    </sheetView>
  </sheetViews>
  <sheetFormatPr defaultRowHeight="14.4" x14ac:dyDescent="0.3"/>
  <cols>
    <col min="1" max="1" width="11.77734375" customWidth="1"/>
    <col min="2" max="2" width="10.44140625" customWidth="1"/>
    <col min="10" max="10" width="10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44</v>
      </c>
    </row>
    <row r="2" spans="1:14" x14ac:dyDescent="0.3">
      <c r="A2">
        <v>1001</v>
      </c>
      <c r="B2" t="s">
        <v>8</v>
      </c>
      <c r="C2">
        <v>49</v>
      </c>
      <c r="D2">
        <v>98</v>
      </c>
      <c r="E2">
        <v>78</v>
      </c>
      <c r="F2">
        <f t="shared" ref="F2:F21" si="0">SUM(C2:E2)</f>
        <v>225</v>
      </c>
      <c r="G2" s="2">
        <f>(F2*100)/300</f>
        <v>75</v>
      </c>
      <c r="H2" t="str">
        <f t="shared" ref="H2:H21" si="1">IF(G2&gt;=85,"A",IF(G2&gt;=70,"B",IF(G2&gt;=60,"C","D")))</f>
        <v>B</v>
      </c>
      <c r="I2" s="2" t="str">
        <f>IF(AND(C2&gt;=80,D2&gt;=80),"Good","Bad")</f>
        <v>Bad</v>
      </c>
      <c r="L2" s="21" t="s">
        <v>42</v>
      </c>
      <c r="M2" s="21"/>
      <c r="N2" s="22">
        <f>COUNTIFS(G2:G21,"&gt;60")</f>
        <v>19</v>
      </c>
    </row>
    <row r="3" spans="1:14" x14ac:dyDescent="0.3">
      <c r="A3">
        <v>1002</v>
      </c>
      <c r="B3" t="s">
        <v>9</v>
      </c>
      <c r="C3">
        <v>92</v>
      </c>
      <c r="D3">
        <v>81</v>
      </c>
      <c r="E3">
        <v>67</v>
      </c>
      <c r="F3">
        <f t="shared" si="0"/>
        <v>240</v>
      </c>
      <c r="G3" s="2">
        <f t="shared" ref="G3:G21" si="2">(F3*100)/300</f>
        <v>80</v>
      </c>
      <c r="H3" t="str">
        <f t="shared" si="1"/>
        <v>B</v>
      </c>
      <c r="I3" s="2" t="str">
        <f t="shared" ref="I3:I21" si="3">IF(AND(C3&gt;=80,D3&gt;=80),"Good","Bad")</f>
        <v>Good</v>
      </c>
      <c r="L3" s="21" t="s">
        <v>43</v>
      </c>
      <c r="M3" s="21"/>
      <c r="N3" s="22">
        <f>COUNTIFS(C2:C21,"&gt;50")</f>
        <v>18</v>
      </c>
    </row>
    <row r="4" spans="1:14" x14ac:dyDescent="0.3">
      <c r="A4">
        <v>1003</v>
      </c>
      <c r="B4" t="s">
        <v>10</v>
      </c>
      <c r="C4">
        <v>50</v>
      </c>
      <c r="D4">
        <v>43</v>
      </c>
      <c r="E4">
        <v>59</v>
      </c>
      <c r="F4">
        <f t="shared" si="0"/>
        <v>152</v>
      </c>
      <c r="G4" s="2">
        <f>(F4*100)/300</f>
        <v>50.666666666666664</v>
      </c>
      <c r="H4" t="str">
        <f t="shared" si="1"/>
        <v>D</v>
      </c>
      <c r="I4" s="2" t="str">
        <f t="shared" si="3"/>
        <v>Bad</v>
      </c>
      <c r="L4" s="21" t="s">
        <v>45</v>
      </c>
      <c r="M4" s="21"/>
      <c r="N4" s="22">
        <f>AVERAGEIFS(G2:G21, G2:G21, "&gt;60")</f>
        <v>72.89473684210526</v>
      </c>
    </row>
    <row r="5" spans="1:14" x14ac:dyDescent="0.3">
      <c r="A5">
        <v>1004</v>
      </c>
      <c r="B5" t="s">
        <v>11</v>
      </c>
      <c r="C5">
        <v>65</v>
      </c>
      <c r="D5">
        <v>70</v>
      </c>
      <c r="E5">
        <v>93</v>
      </c>
      <c r="F5">
        <f t="shared" si="0"/>
        <v>228</v>
      </c>
      <c r="G5" s="2">
        <f t="shared" si="2"/>
        <v>76</v>
      </c>
      <c r="H5" t="str">
        <f t="shared" si="1"/>
        <v>B</v>
      </c>
      <c r="I5" s="2" t="str">
        <f t="shared" si="3"/>
        <v>Bad</v>
      </c>
      <c r="L5" s="21" t="s">
        <v>46</v>
      </c>
      <c r="M5" s="21"/>
      <c r="N5" s="22" t="str">
        <f>VLOOKUP(1005, A2:B21, 2, FALSE)</f>
        <v>Student 5</v>
      </c>
    </row>
    <row r="6" spans="1:14" x14ac:dyDescent="0.3">
      <c r="A6">
        <v>1005</v>
      </c>
      <c r="B6" t="s">
        <v>12</v>
      </c>
      <c r="C6">
        <v>84</v>
      </c>
      <c r="D6">
        <v>68</v>
      </c>
      <c r="E6">
        <v>57</v>
      </c>
      <c r="F6">
        <f t="shared" si="0"/>
        <v>209</v>
      </c>
      <c r="G6" s="2">
        <f t="shared" si="2"/>
        <v>69.666666666666671</v>
      </c>
      <c r="H6" t="str">
        <f t="shared" si="1"/>
        <v>C</v>
      </c>
      <c r="I6" s="2" t="str">
        <f t="shared" si="3"/>
        <v>Bad</v>
      </c>
    </row>
    <row r="7" spans="1:14" x14ac:dyDescent="0.3">
      <c r="A7">
        <v>1006</v>
      </c>
      <c r="B7" t="s">
        <v>13</v>
      </c>
      <c r="C7">
        <v>79</v>
      </c>
      <c r="D7">
        <v>79</v>
      </c>
      <c r="E7">
        <v>75</v>
      </c>
      <c r="F7">
        <f t="shared" si="0"/>
        <v>233</v>
      </c>
      <c r="G7" s="2">
        <f t="shared" si="2"/>
        <v>77.666666666666671</v>
      </c>
      <c r="H7" t="str">
        <f t="shared" si="1"/>
        <v>B</v>
      </c>
      <c r="I7" s="2" t="str">
        <f t="shared" si="3"/>
        <v>Bad</v>
      </c>
    </row>
    <row r="8" spans="1:14" x14ac:dyDescent="0.3">
      <c r="A8">
        <v>1007</v>
      </c>
      <c r="B8" t="s">
        <v>14</v>
      </c>
      <c r="C8">
        <v>96</v>
      </c>
      <c r="D8">
        <v>76</v>
      </c>
      <c r="E8">
        <v>40</v>
      </c>
      <c r="F8">
        <f t="shared" si="0"/>
        <v>212</v>
      </c>
      <c r="G8" s="2">
        <f t="shared" si="2"/>
        <v>70.666666666666671</v>
      </c>
      <c r="H8" t="str">
        <f t="shared" si="1"/>
        <v>B</v>
      </c>
      <c r="I8" s="2" t="str">
        <f t="shared" si="3"/>
        <v>Bad</v>
      </c>
    </row>
    <row r="9" spans="1:14" x14ac:dyDescent="0.3">
      <c r="A9">
        <v>1008</v>
      </c>
      <c r="B9" t="s">
        <v>15</v>
      </c>
      <c r="C9">
        <v>59</v>
      </c>
      <c r="D9">
        <v>87</v>
      </c>
      <c r="E9">
        <v>100</v>
      </c>
      <c r="F9">
        <f t="shared" si="0"/>
        <v>246</v>
      </c>
      <c r="G9" s="2">
        <f t="shared" si="2"/>
        <v>82</v>
      </c>
      <c r="H9" t="str">
        <f t="shared" si="1"/>
        <v>B</v>
      </c>
      <c r="I9" s="2" t="str">
        <f t="shared" si="3"/>
        <v>Bad</v>
      </c>
    </row>
    <row r="10" spans="1:14" x14ac:dyDescent="0.3">
      <c r="A10">
        <v>1009</v>
      </c>
      <c r="B10" t="s">
        <v>16</v>
      </c>
      <c r="C10">
        <v>61</v>
      </c>
      <c r="D10">
        <v>74</v>
      </c>
      <c r="E10">
        <v>74</v>
      </c>
      <c r="F10">
        <f t="shared" si="0"/>
        <v>209</v>
      </c>
      <c r="G10" s="2">
        <f t="shared" si="2"/>
        <v>69.666666666666671</v>
      </c>
      <c r="H10" t="str">
        <f t="shared" si="1"/>
        <v>C</v>
      </c>
      <c r="I10" s="2" t="str">
        <f t="shared" si="3"/>
        <v>Bad</v>
      </c>
    </row>
    <row r="11" spans="1:14" x14ac:dyDescent="0.3">
      <c r="A11">
        <v>1010</v>
      </c>
      <c r="B11" t="s">
        <v>17</v>
      </c>
      <c r="C11">
        <v>81</v>
      </c>
      <c r="D11">
        <v>72</v>
      </c>
      <c r="E11">
        <v>55</v>
      </c>
      <c r="F11">
        <f t="shared" si="0"/>
        <v>208</v>
      </c>
      <c r="G11" s="2">
        <f t="shared" si="2"/>
        <v>69.333333333333329</v>
      </c>
      <c r="H11" t="str">
        <f t="shared" si="1"/>
        <v>C</v>
      </c>
      <c r="I11" s="2" t="str">
        <f t="shared" si="3"/>
        <v>Bad</v>
      </c>
    </row>
    <row r="12" spans="1:14" x14ac:dyDescent="0.3">
      <c r="A12">
        <v>1011</v>
      </c>
      <c r="B12" t="s">
        <v>18</v>
      </c>
      <c r="C12">
        <v>86</v>
      </c>
      <c r="D12">
        <v>87</v>
      </c>
      <c r="E12">
        <v>58</v>
      </c>
      <c r="F12">
        <f t="shared" si="0"/>
        <v>231</v>
      </c>
      <c r="G12" s="2">
        <f t="shared" si="2"/>
        <v>77</v>
      </c>
      <c r="H12" t="str">
        <f t="shared" si="1"/>
        <v>B</v>
      </c>
      <c r="I12" s="2" t="str">
        <f t="shared" si="3"/>
        <v>Good</v>
      </c>
    </row>
    <row r="13" spans="1:14" x14ac:dyDescent="0.3">
      <c r="A13">
        <v>1012</v>
      </c>
      <c r="B13" t="s">
        <v>19</v>
      </c>
      <c r="C13">
        <v>85</v>
      </c>
      <c r="D13">
        <v>51</v>
      </c>
      <c r="E13">
        <v>95</v>
      </c>
      <c r="F13">
        <f t="shared" si="0"/>
        <v>231</v>
      </c>
      <c r="G13" s="2">
        <f t="shared" si="2"/>
        <v>77</v>
      </c>
      <c r="H13" t="str">
        <f t="shared" si="1"/>
        <v>B</v>
      </c>
      <c r="I13" s="2" t="str">
        <f t="shared" si="3"/>
        <v>Bad</v>
      </c>
    </row>
    <row r="14" spans="1:14" x14ac:dyDescent="0.3">
      <c r="A14">
        <v>1013</v>
      </c>
      <c r="B14" t="s">
        <v>20</v>
      </c>
      <c r="C14">
        <v>85</v>
      </c>
      <c r="D14">
        <v>85</v>
      </c>
      <c r="E14">
        <v>91</v>
      </c>
      <c r="F14">
        <f t="shared" si="0"/>
        <v>261</v>
      </c>
      <c r="G14" s="2">
        <f t="shared" si="2"/>
        <v>87</v>
      </c>
      <c r="H14" t="str">
        <f t="shared" si="1"/>
        <v>A</v>
      </c>
      <c r="I14" s="2" t="str">
        <f t="shared" si="3"/>
        <v>Good</v>
      </c>
    </row>
    <row r="15" spans="1:14" x14ac:dyDescent="0.3">
      <c r="A15">
        <v>1014</v>
      </c>
      <c r="B15" t="s">
        <v>21</v>
      </c>
      <c r="C15">
        <v>86</v>
      </c>
      <c r="D15">
        <v>43</v>
      </c>
      <c r="E15">
        <v>64</v>
      </c>
      <c r="F15">
        <f t="shared" si="0"/>
        <v>193</v>
      </c>
      <c r="G15" s="2">
        <f t="shared" si="2"/>
        <v>64.333333333333329</v>
      </c>
      <c r="H15" t="str">
        <f t="shared" si="1"/>
        <v>C</v>
      </c>
      <c r="I15" s="2" t="str">
        <f t="shared" si="3"/>
        <v>Bad</v>
      </c>
    </row>
    <row r="16" spans="1:14" x14ac:dyDescent="0.3">
      <c r="A16">
        <v>1015</v>
      </c>
      <c r="B16" t="s">
        <v>22</v>
      </c>
      <c r="C16">
        <v>59</v>
      </c>
      <c r="D16">
        <v>68</v>
      </c>
      <c r="E16">
        <v>57</v>
      </c>
      <c r="F16">
        <f t="shared" si="0"/>
        <v>184</v>
      </c>
      <c r="G16" s="2">
        <f t="shared" si="2"/>
        <v>61.333333333333336</v>
      </c>
      <c r="H16" t="str">
        <f t="shared" si="1"/>
        <v>C</v>
      </c>
      <c r="I16" s="2" t="str">
        <f t="shared" si="3"/>
        <v>Bad</v>
      </c>
    </row>
    <row r="17" spans="1:9" x14ac:dyDescent="0.3">
      <c r="A17">
        <v>1016</v>
      </c>
      <c r="B17" t="s">
        <v>23</v>
      </c>
      <c r="C17">
        <v>80</v>
      </c>
      <c r="D17">
        <v>40</v>
      </c>
      <c r="E17">
        <v>74</v>
      </c>
      <c r="F17">
        <f t="shared" si="0"/>
        <v>194</v>
      </c>
      <c r="G17" s="2">
        <f t="shared" si="2"/>
        <v>64.666666666666671</v>
      </c>
      <c r="H17" t="str">
        <f t="shared" si="1"/>
        <v>C</v>
      </c>
      <c r="I17" s="2" t="str">
        <f t="shared" si="3"/>
        <v>Bad</v>
      </c>
    </row>
    <row r="18" spans="1:9" x14ac:dyDescent="0.3">
      <c r="A18">
        <v>1017</v>
      </c>
      <c r="B18" t="s">
        <v>24</v>
      </c>
      <c r="C18">
        <v>68</v>
      </c>
      <c r="D18">
        <v>80</v>
      </c>
      <c r="E18">
        <v>56</v>
      </c>
      <c r="F18">
        <f t="shared" si="0"/>
        <v>204</v>
      </c>
      <c r="G18" s="2">
        <f t="shared" si="2"/>
        <v>68</v>
      </c>
      <c r="H18" t="str">
        <f t="shared" si="1"/>
        <v>C</v>
      </c>
      <c r="I18" s="2" t="str">
        <f t="shared" si="3"/>
        <v>Bad</v>
      </c>
    </row>
    <row r="19" spans="1:9" x14ac:dyDescent="0.3">
      <c r="A19">
        <v>1018</v>
      </c>
      <c r="B19" t="s">
        <v>25</v>
      </c>
      <c r="C19">
        <v>80</v>
      </c>
      <c r="D19">
        <v>62</v>
      </c>
      <c r="E19">
        <v>95</v>
      </c>
      <c r="F19">
        <f t="shared" si="0"/>
        <v>237</v>
      </c>
      <c r="G19" s="2">
        <f t="shared" si="2"/>
        <v>79</v>
      </c>
      <c r="H19" t="str">
        <f t="shared" si="1"/>
        <v>B</v>
      </c>
      <c r="I19" s="2" t="str">
        <f t="shared" si="3"/>
        <v>Bad</v>
      </c>
    </row>
    <row r="20" spans="1:9" x14ac:dyDescent="0.3">
      <c r="A20">
        <v>1019</v>
      </c>
      <c r="B20" t="s">
        <v>26</v>
      </c>
      <c r="C20">
        <v>87</v>
      </c>
      <c r="D20">
        <v>41</v>
      </c>
      <c r="E20">
        <v>98</v>
      </c>
      <c r="F20">
        <f t="shared" si="0"/>
        <v>226</v>
      </c>
      <c r="G20" s="2">
        <f t="shared" si="2"/>
        <v>75.333333333333329</v>
      </c>
      <c r="H20" t="str">
        <f t="shared" si="1"/>
        <v>B</v>
      </c>
      <c r="I20" s="2" t="str">
        <f t="shared" si="3"/>
        <v>Bad</v>
      </c>
    </row>
    <row r="21" spans="1:9" x14ac:dyDescent="0.3">
      <c r="A21">
        <v>1020</v>
      </c>
      <c r="B21" t="s">
        <v>27</v>
      </c>
      <c r="C21">
        <v>54</v>
      </c>
      <c r="D21">
        <v>43</v>
      </c>
      <c r="E21">
        <v>87</v>
      </c>
      <c r="F21">
        <f t="shared" si="0"/>
        <v>184</v>
      </c>
      <c r="G21" s="2">
        <f t="shared" si="2"/>
        <v>61.333333333333336</v>
      </c>
      <c r="H21" t="str">
        <f t="shared" si="1"/>
        <v>C</v>
      </c>
      <c r="I21" s="2" t="str">
        <f t="shared" si="3"/>
        <v>Bad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0831-C29E-40F0-A229-D2B3489F1034}">
  <dimension ref="A1:P21"/>
  <sheetViews>
    <sheetView workbookViewId="0">
      <selection activeCell="L5" sqref="L5"/>
    </sheetView>
  </sheetViews>
  <sheetFormatPr defaultRowHeight="14.4" x14ac:dyDescent="0.3"/>
  <cols>
    <col min="3" max="3" width="10.77734375" customWidth="1"/>
  </cols>
  <sheetData>
    <row r="1" spans="1:16" x14ac:dyDescent="0.3">
      <c r="A1" t="s">
        <v>28</v>
      </c>
      <c r="B1" t="s">
        <v>29</v>
      </c>
      <c r="C1" t="s">
        <v>30</v>
      </c>
      <c r="D1" t="s">
        <v>47</v>
      </c>
      <c r="F1" t="s">
        <v>31</v>
      </c>
      <c r="G1" t="s">
        <v>32</v>
      </c>
      <c r="H1" t="s">
        <v>33</v>
      </c>
    </row>
    <row r="2" spans="1:16" x14ac:dyDescent="0.3">
      <c r="A2">
        <v>2001</v>
      </c>
      <c r="B2" t="s">
        <v>34</v>
      </c>
      <c r="C2" t="s">
        <v>35</v>
      </c>
      <c r="D2" t="s">
        <v>48</v>
      </c>
      <c r="E2" s="3"/>
      <c r="F2">
        <v>25000</v>
      </c>
      <c r="G2" s="3">
        <v>0.1</v>
      </c>
      <c r="H2" s="2">
        <f>F2-(F2*G2)</f>
        <v>22500</v>
      </c>
      <c r="O2" s="3"/>
      <c r="P2" s="2"/>
    </row>
    <row r="3" spans="1:16" x14ac:dyDescent="0.3">
      <c r="A3">
        <v>2002</v>
      </c>
      <c r="B3" t="s">
        <v>36</v>
      </c>
      <c r="C3" t="s">
        <v>37</v>
      </c>
      <c r="D3" t="s">
        <v>49</v>
      </c>
      <c r="E3" s="3"/>
      <c r="F3">
        <v>5000</v>
      </c>
      <c r="G3" s="3">
        <v>0.05</v>
      </c>
      <c r="H3" s="2">
        <f t="shared" ref="H3:H21" si="0">F3-(F3*G3)</f>
        <v>4750</v>
      </c>
      <c r="K3" s="8" t="s">
        <v>68</v>
      </c>
      <c r="L3" s="13"/>
      <c r="M3" s="17"/>
      <c r="O3" s="3"/>
      <c r="P3" s="2"/>
    </row>
    <row r="4" spans="1:16" x14ac:dyDescent="0.3">
      <c r="A4">
        <v>2003</v>
      </c>
      <c r="B4" t="s">
        <v>38</v>
      </c>
      <c r="C4" t="s">
        <v>39</v>
      </c>
      <c r="D4" t="s">
        <v>50</v>
      </c>
      <c r="E4" s="3"/>
      <c r="F4">
        <v>45000</v>
      </c>
      <c r="G4" s="3">
        <v>0.12</v>
      </c>
      <c r="H4" s="2">
        <f t="shared" si="0"/>
        <v>39600</v>
      </c>
      <c r="K4" s="9"/>
      <c r="L4" s="14"/>
      <c r="M4" s="17"/>
      <c r="O4" s="3"/>
      <c r="P4" s="2"/>
    </row>
    <row r="5" spans="1:16" x14ac:dyDescent="0.3">
      <c r="A5">
        <v>2004</v>
      </c>
      <c r="B5" t="s">
        <v>40</v>
      </c>
      <c r="C5" t="s">
        <v>41</v>
      </c>
      <c r="D5" t="s">
        <v>51</v>
      </c>
      <c r="E5" s="3"/>
      <c r="F5">
        <v>12000</v>
      </c>
      <c r="G5" s="3">
        <v>0.1</v>
      </c>
      <c r="H5" s="2">
        <f t="shared" si="0"/>
        <v>10800</v>
      </c>
      <c r="K5" s="9" t="s">
        <v>70</v>
      </c>
      <c r="L5" s="14">
        <f>VLOOKUP(2003, A2:F21, 6, FALSE)</f>
        <v>45000</v>
      </c>
      <c r="M5" s="17"/>
      <c r="O5" s="3"/>
      <c r="P5" s="2"/>
    </row>
    <row r="6" spans="1:16" x14ac:dyDescent="0.3">
      <c r="A6">
        <v>2005</v>
      </c>
      <c r="B6" t="s">
        <v>34</v>
      </c>
      <c r="C6" t="s">
        <v>35</v>
      </c>
      <c r="D6" t="s">
        <v>52</v>
      </c>
      <c r="E6" s="3"/>
      <c r="F6">
        <v>30000</v>
      </c>
      <c r="G6" s="3">
        <v>0.1</v>
      </c>
      <c r="H6" s="2">
        <f t="shared" si="0"/>
        <v>27000</v>
      </c>
      <c r="K6" s="5"/>
      <c r="L6" s="15"/>
      <c r="M6" s="17"/>
      <c r="O6" s="3"/>
      <c r="P6" s="2"/>
    </row>
    <row r="7" spans="1:16" x14ac:dyDescent="0.3">
      <c r="A7">
        <v>2006</v>
      </c>
      <c r="B7" t="s">
        <v>36</v>
      </c>
      <c r="C7" t="s">
        <v>39</v>
      </c>
      <c r="D7" t="s">
        <v>53</v>
      </c>
      <c r="E7" s="3"/>
      <c r="F7">
        <v>7000</v>
      </c>
      <c r="G7" s="3">
        <v>0.08</v>
      </c>
      <c r="H7" s="2">
        <f t="shared" si="0"/>
        <v>6440</v>
      </c>
      <c r="K7" s="10" t="s">
        <v>71</v>
      </c>
      <c r="L7" s="10" t="s">
        <v>72</v>
      </c>
      <c r="M7" s="16" t="s">
        <v>73</v>
      </c>
      <c r="O7" s="3"/>
      <c r="P7" s="2"/>
    </row>
    <row r="8" spans="1:16" x14ac:dyDescent="0.3">
      <c r="A8">
        <v>2007</v>
      </c>
      <c r="B8" t="s">
        <v>38</v>
      </c>
      <c r="C8" t="s">
        <v>37</v>
      </c>
      <c r="D8" t="s">
        <v>54</v>
      </c>
      <c r="E8" s="3"/>
      <c r="F8">
        <v>40000</v>
      </c>
      <c r="G8" s="3">
        <v>0.1</v>
      </c>
      <c r="H8" s="2">
        <f t="shared" si="0"/>
        <v>36000</v>
      </c>
      <c r="K8" s="11" t="s">
        <v>74</v>
      </c>
      <c r="L8" s="11" t="s">
        <v>75</v>
      </c>
      <c r="M8" s="20">
        <f>SUMIFS(F2:F21, B2:B21, "Laptop", C2:C21, "South")</f>
        <v>42000</v>
      </c>
      <c r="O8" s="3"/>
      <c r="P8" s="2"/>
    </row>
    <row r="9" spans="1:16" x14ac:dyDescent="0.3">
      <c r="A9">
        <v>2008</v>
      </c>
      <c r="B9" t="s">
        <v>40</v>
      </c>
      <c r="C9" t="s">
        <v>35</v>
      </c>
      <c r="D9" t="s">
        <v>55</v>
      </c>
      <c r="E9" s="3"/>
      <c r="F9">
        <v>15000</v>
      </c>
      <c r="G9" s="3">
        <v>0.16</v>
      </c>
      <c r="H9" s="2">
        <f t="shared" si="0"/>
        <v>12600</v>
      </c>
      <c r="K9" s="5"/>
      <c r="L9" s="15"/>
      <c r="M9" s="17"/>
      <c r="O9" s="3"/>
      <c r="P9" s="2"/>
    </row>
    <row r="10" spans="1:16" x14ac:dyDescent="0.3">
      <c r="A10">
        <v>2009</v>
      </c>
      <c r="B10" t="s">
        <v>34</v>
      </c>
      <c r="C10" t="s">
        <v>41</v>
      </c>
      <c r="D10" t="s">
        <v>56</v>
      </c>
      <c r="E10" s="3"/>
      <c r="F10">
        <v>22000</v>
      </c>
      <c r="G10" s="3">
        <v>0.19</v>
      </c>
      <c r="H10" s="2">
        <f t="shared" si="0"/>
        <v>17820</v>
      </c>
      <c r="K10" s="12" t="s">
        <v>76</v>
      </c>
      <c r="L10" s="18" t="s">
        <v>77</v>
      </c>
      <c r="M10" s="17"/>
      <c r="O10" s="3"/>
      <c r="P10" s="2"/>
    </row>
    <row r="11" spans="1:16" x14ac:dyDescent="0.3">
      <c r="A11">
        <v>2010</v>
      </c>
      <c r="B11" t="s">
        <v>36</v>
      </c>
      <c r="C11" t="s">
        <v>35</v>
      </c>
      <c r="D11" t="s">
        <v>57</v>
      </c>
      <c r="E11" s="3"/>
      <c r="F11">
        <v>8000</v>
      </c>
      <c r="G11" s="3">
        <v>0.1</v>
      </c>
      <c r="H11" s="2">
        <f t="shared" si="0"/>
        <v>7200</v>
      </c>
      <c r="K11" s="11">
        <v>2001</v>
      </c>
      <c r="L11" s="19">
        <f>_xlfn.XMATCH("Keyboard", B2:B21)</f>
        <v>1</v>
      </c>
      <c r="M11" s="17"/>
      <c r="O11" s="3"/>
      <c r="P11" s="2"/>
    </row>
    <row r="12" spans="1:16" x14ac:dyDescent="0.3">
      <c r="A12">
        <v>2011</v>
      </c>
      <c r="B12" t="s">
        <v>38</v>
      </c>
      <c r="C12" t="s">
        <v>39</v>
      </c>
      <c r="D12" t="s">
        <v>58</v>
      </c>
      <c r="E12" s="3"/>
      <c r="F12">
        <v>35000</v>
      </c>
      <c r="G12" s="3">
        <v>0.1</v>
      </c>
      <c r="H12" s="2">
        <f t="shared" si="0"/>
        <v>31500</v>
      </c>
      <c r="O12" s="3"/>
      <c r="P12" s="2"/>
    </row>
    <row r="13" spans="1:16" x14ac:dyDescent="0.3">
      <c r="A13">
        <v>2012</v>
      </c>
      <c r="B13" t="s">
        <v>40</v>
      </c>
      <c r="C13" t="s">
        <v>37</v>
      </c>
      <c r="D13" t="s">
        <v>59</v>
      </c>
      <c r="E13" s="3"/>
      <c r="F13">
        <v>18000</v>
      </c>
      <c r="G13" s="3">
        <v>0.2</v>
      </c>
      <c r="H13" s="2">
        <f t="shared" si="0"/>
        <v>14400</v>
      </c>
      <c r="O13" s="3"/>
      <c r="P13" s="2"/>
    </row>
    <row r="14" spans="1:16" x14ac:dyDescent="0.3">
      <c r="A14">
        <v>2013</v>
      </c>
      <c r="B14" t="s">
        <v>34</v>
      </c>
      <c r="C14" t="s">
        <v>35</v>
      </c>
      <c r="D14" t="s">
        <v>60</v>
      </c>
      <c r="E14" s="3"/>
      <c r="F14">
        <v>27000</v>
      </c>
      <c r="G14" s="3">
        <v>0.1</v>
      </c>
      <c r="H14" s="2">
        <f t="shared" si="0"/>
        <v>24300</v>
      </c>
      <c r="O14" s="3"/>
      <c r="P14" s="2"/>
    </row>
    <row r="15" spans="1:16" x14ac:dyDescent="0.3">
      <c r="A15">
        <v>2014</v>
      </c>
      <c r="B15" t="s">
        <v>36</v>
      </c>
      <c r="C15" t="s">
        <v>41</v>
      </c>
      <c r="D15" t="s">
        <v>61</v>
      </c>
      <c r="E15" s="3"/>
      <c r="F15">
        <v>6000</v>
      </c>
      <c r="G15" s="3">
        <v>0.17</v>
      </c>
      <c r="H15" s="2">
        <f t="shared" si="0"/>
        <v>4980</v>
      </c>
      <c r="O15" s="3"/>
      <c r="P15" s="2"/>
    </row>
    <row r="16" spans="1:16" x14ac:dyDescent="0.3">
      <c r="A16">
        <v>2015</v>
      </c>
      <c r="B16" t="s">
        <v>38</v>
      </c>
      <c r="C16" t="s">
        <v>35</v>
      </c>
      <c r="D16" t="s">
        <v>62</v>
      </c>
      <c r="E16" s="3"/>
      <c r="F16">
        <v>42000</v>
      </c>
      <c r="G16" s="3">
        <v>0.19</v>
      </c>
      <c r="H16" s="2">
        <f t="shared" si="0"/>
        <v>34020</v>
      </c>
      <c r="O16" s="3"/>
      <c r="P16" s="2"/>
    </row>
    <row r="17" spans="1:16" x14ac:dyDescent="0.3">
      <c r="A17">
        <v>2016</v>
      </c>
      <c r="B17" t="s">
        <v>40</v>
      </c>
      <c r="C17" t="s">
        <v>39</v>
      </c>
      <c r="D17" t="s">
        <v>63</v>
      </c>
      <c r="E17" s="3"/>
      <c r="F17">
        <v>16000</v>
      </c>
      <c r="G17" s="3">
        <v>0.24</v>
      </c>
      <c r="H17" s="2">
        <f t="shared" si="0"/>
        <v>12160</v>
      </c>
      <c r="O17" s="3"/>
      <c r="P17" s="2"/>
    </row>
    <row r="18" spans="1:16" x14ac:dyDescent="0.3">
      <c r="A18">
        <v>2017</v>
      </c>
      <c r="B18" t="s">
        <v>34</v>
      </c>
      <c r="C18" t="s">
        <v>37</v>
      </c>
      <c r="D18" t="s">
        <v>64</v>
      </c>
      <c r="E18" s="3"/>
      <c r="F18">
        <v>25000</v>
      </c>
      <c r="G18" s="3">
        <v>0.28999999999999998</v>
      </c>
      <c r="H18" s="2">
        <f t="shared" si="0"/>
        <v>17750</v>
      </c>
      <c r="O18" s="3"/>
      <c r="P18" s="2"/>
    </row>
    <row r="19" spans="1:16" x14ac:dyDescent="0.3">
      <c r="A19">
        <v>2018</v>
      </c>
      <c r="B19" t="s">
        <v>36</v>
      </c>
      <c r="C19" t="s">
        <v>35</v>
      </c>
      <c r="D19" t="s">
        <v>65</v>
      </c>
      <c r="E19" s="3"/>
      <c r="F19">
        <v>9000</v>
      </c>
      <c r="G19" s="3">
        <v>0.25</v>
      </c>
      <c r="H19" s="2">
        <f t="shared" si="0"/>
        <v>6750</v>
      </c>
      <c r="O19" s="3"/>
      <c r="P19" s="2"/>
    </row>
    <row r="20" spans="1:16" x14ac:dyDescent="0.3">
      <c r="A20">
        <v>2019</v>
      </c>
      <c r="B20" t="s">
        <v>38</v>
      </c>
      <c r="C20" t="s">
        <v>41</v>
      </c>
      <c r="D20" t="s">
        <v>66</v>
      </c>
      <c r="E20" s="3"/>
      <c r="F20">
        <v>38000</v>
      </c>
      <c r="G20" s="3">
        <v>0.3</v>
      </c>
      <c r="H20" s="2">
        <f t="shared" si="0"/>
        <v>26600</v>
      </c>
      <c r="O20" s="3"/>
      <c r="P20" s="2"/>
    </row>
    <row r="21" spans="1:16" x14ac:dyDescent="0.3">
      <c r="A21">
        <v>2020</v>
      </c>
      <c r="B21" t="s">
        <v>40</v>
      </c>
      <c r="C21" t="s">
        <v>35</v>
      </c>
      <c r="D21" t="s">
        <v>67</v>
      </c>
      <c r="E21" s="3"/>
      <c r="F21">
        <v>20000</v>
      </c>
      <c r="G21" s="3">
        <v>0.38</v>
      </c>
      <c r="H21" s="2">
        <f t="shared" si="0"/>
        <v>12400</v>
      </c>
      <c r="O21" s="3"/>
      <c r="P21" s="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CD08-52F6-40B8-83A1-6E4338771C2E}">
  <dimension ref="A1:J21"/>
  <sheetViews>
    <sheetView workbookViewId="0">
      <selection activeCell="J16" sqref="J16"/>
    </sheetView>
  </sheetViews>
  <sheetFormatPr defaultRowHeight="14.4" x14ac:dyDescent="0.3"/>
  <sheetData>
    <row r="1" spans="1:10" x14ac:dyDescent="0.3">
      <c r="A1" s="6" t="s">
        <v>78</v>
      </c>
      <c r="B1" s="6" t="s">
        <v>1</v>
      </c>
      <c r="C1" s="6" t="s">
        <v>79</v>
      </c>
      <c r="D1" s="6" t="s">
        <v>80</v>
      </c>
      <c r="I1" s="4" t="s">
        <v>107</v>
      </c>
      <c r="J1" s="4" t="s">
        <v>105</v>
      </c>
    </row>
    <row r="2" spans="1:10" x14ac:dyDescent="0.3">
      <c r="A2" s="6">
        <v>3001</v>
      </c>
      <c r="B2" s="6" t="s">
        <v>81</v>
      </c>
      <c r="C2" s="6" t="s">
        <v>82</v>
      </c>
      <c r="D2" s="6">
        <v>50000</v>
      </c>
      <c r="H2" s="7" t="s">
        <v>105</v>
      </c>
      <c r="I2" s="7">
        <v>3001</v>
      </c>
      <c r="J2" s="7">
        <f>_xlfn.XLOOKUP(3005, A2:A21, D2:D21)</f>
        <v>55000</v>
      </c>
    </row>
    <row r="3" spans="1:10" x14ac:dyDescent="0.3">
      <c r="A3" s="6">
        <v>3002</v>
      </c>
      <c r="B3" s="6" t="s">
        <v>83</v>
      </c>
      <c r="C3" s="6" t="s">
        <v>84</v>
      </c>
      <c r="D3" s="6">
        <v>30000</v>
      </c>
      <c r="H3" s="5"/>
      <c r="I3" s="5"/>
      <c r="J3" s="5"/>
    </row>
    <row r="4" spans="1:10" x14ac:dyDescent="0.3">
      <c r="A4" s="6">
        <v>3003</v>
      </c>
      <c r="B4" s="6" t="s">
        <v>85</v>
      </c>
      <c r="C4" s="6" t="s">
        <v>86</v>
      </c>
      <c r="D4" s="6">
        <v>45000</v>
      </c>
      <c r="H4" s="7" t="s">
        <v>106</v>
      </c>
      <c r="I4" s="7"/>
      <c r="J4" s="7" t="str">
        <f>LEFT(B2, FIND(" ", B2)-1)</f>
        <v>Emp</v>
      </c>
    </row>
    <row r="5" spans="1:10" x14ac:dyDescent="0.3">
      <c r="A5" s="6">
        <v>3004</v>
      </c>
      <c r="B5" s="6" t="s">
        <v>87</v>
      </c>
      <c r="C5" s="6" t="s">
        <v>88</v>
      </c>
      <c r="D5" s="6">
        <v>60000</v>
      </c>
      <c r="H5" s="5"/>
      <c r="I5" s="5"/>
      <c r="J5" s="5"/>
    </row>
    <row r="6" spans="1:10" x14ac:dyDescent="0.3">
      <c r="A6" s="6">
        <v>3005</v>
      </c>
      <c r="B6" s="6" t="s">
        <v>89</v>
      </c>
      <c r="C6" s="6" t="s">
        <v>82</v>
      </c>
      <c r="D6" s="6">
        <v>55000</v>
      </c>
      <c r="H6" s="7" t="s">
        <v>69</v>
      </c>
      <c r="I6" s="7">
        <v>3010</v>
      </c>
      <c r="J6" s="7">
        <f>_xlfn.XLOOKUP(3010, A2:A21, D2:D21)</f>
        <v>35000</v>
      </c>
    </row>
    <row r="7" spans="1:10" x14ac:dyDescent="0.3">
      <c r="A7" s="6">
        <v>3006</v>
      </c>
      <c r="B7" s="6" t="s">
        <v>90</v>
      </c>
      <c r="C7" s="6" t="s">
        <v>84</v>
      </c>
      <c r="D7" s="6">
        <v>32000</v>
      </c>
    </row>
    <row r="8" spans="1:10" x14ac:dyDescent="0.3">
      <c r="A8" s="6">
        <v>3007</v>
      </c>
      <c r="B8" s="6" t="s">
        <v>91</v>
      </c>
      <c r="C8" s="6" t="s">
        <v>86</v>
      </c>
      <c r="D8" s="6">
        <v>48000</v>
      </c>
    </row>
    <row r="9" spans="1:10" x14ac:dyDescent="0.3">
      <c r="A9" s="6">
        <v>3008</v>
      </c>
      <c r="B9" s="6" t="s">
        <v>92</v>
      </c>
      <c r="C9" s="6" t="s">
        <v>88</v>
      </c>
      <c r="D9" s="6">
        <v>62000</v>
      </c>
    </row>
    <row r="10" spans="1:10" x14ac:dyDescent="0.3">
      <c r="A10" s="6">
        <v>3009</v>
      </c>
      <c r="B10" s="6" t="s">
        <v>93</v>
      </c>
      <c r="C10" s="6" t="s">
        <v>82</v>
      </c>
      <c r="D10" s="6">
        <v>53000</v>
      </c>
    </row>
    <row r="11" spans="1:10" x14ac:dyDescent="0.3">
      <c r="A11" s="6">
        <v>3010</v>
      </c>
      <c r="B11" s="6" t="s">
        <v>94</v>
      </c>
      <c r="C11" s="6" t="s">
        <v>84</v>
      </c>
      <c r="D11" s="6">
        <v>35000</v>
      </c>
    </row>
    <row r="12" spans="1:10" x14ac:dyDescent="0.3">
      <c r="A12" s="6">
        <v>3011</v>
      </c>
      <c r="B12" s="6" t="s">
        <v>95</v>
      </c>
      <c r="C12" s="6" t="s">
        <v>86</v>
      </c>
      <c r="D12" s="6">
        <v>47000</v>
      </c>
    </row>
    <row r="13" spans="1:10" x14ac:dyDescent="0.3">
      <c r="A13" s="6">
        <v>3012</v>
      </c>
      <c r="B13" s="6" t="s">
        <v>96</v>
      </c>
      <c r="C13" s="6" t="s">
        <v>88</v>
      </c>
      <c r="D13" s="6">
        <v>61000</v>
      </c>
    </row>
    <row r="14" spans="1:10" x14ac:dyDescent="0.3">
      <c r="A14" s="6">
        <v>3013</v>
      </c>
      <c r="B14" s="6" t="s">
        <v>97</v>
      </c>
      <c r="C14" s="6" t="s">
        <v>82</v>
      </c>
      <c r="D14" s="6">
        <v>54000</v>
      </c>
    </row>
    <row r="15" spans="1:10" x14ac:dyDescent="0.3">
      <c r="A15" s="6">
        <v>3014</v>
      </c>
      <c r="B15" s="6" t="s">
        <v>98</v>
      </c>
      <c r="C15" s="6" t="s">
        <v>84</v>
      </c>
      <c r="D15" s="6">
        <v>31000</v>
      </c>
    </row>
    <row r="16" spans="1:10" x14ac:dyDescent="0.3">
      <c r="A16" s="6">
        <v>3015</v>
      </c>
      <c r="B16" s="6" t="s">
        <v>99</v>
      </c>
      <c r="C16" s="6" t="s">
        <v>86</v>
      </c>
      <c r="D16" s="6">
        <v>49000</v>
      </c>
    </row>
    <row r="17" spans="1:4" x14ac:dyDescent="0.3">
      <c r="A17" s="6">
        <v>3016</v>
      </c>
      <c r="B17" s="6" t="s">
        <v>100</v>
      </c>
      <c r="C17" s="6" t="s">
        <v>88</v>
      </c>
      <c r="D17" s="6">
        <v>63000</v>
      </c>
    </row>
    <row r="18" spans="1:4" x14ac:dyDescent="0.3">
      <c r="A18" s="6">
        <v>3017</v>
      </c>
      <c r="B18" s="6" t="s">
        <v>101</v>
      </c>
      <c r="C18" s="6" t="s">
        <v>82</v>
      </c>
      <c r="D18" s="6">
        <v>52000</v>
      </c>
    </row>
    <row r="19" spans="1:4" x14ac:dyDescent="0.3">
      <c r="A19" s="6">
        <v>3018</v>
      </c>
      <c r="B19" s="6" t="s">
        <v>102</v>
      </c>
      <c r="C19" s="6" t="s">
        <v>84</v>
      </c>
      <c r="D19" s="6">
        <v>33000</v>
      </c>
    </row>
    <row r="20" spans="1:4" x14ac:dyDescent="0.3">
      <c r="A20" s="6">
        <v>3019</v>
      </c>
      <c r="B20" s="6" t="s">
        <v>103</v>
      </c>
      <c r="C20" s="6" t="s">
        <v>86</v>
      </c>
      <c r="D20" s="6">
        <v>46000</v>
      </c>
    </row>
    <row r="21" spans="1:4" x14ac:dyDescent="0.3">
      <c r="A21" s="6">
        <v>3020</v>
      </c>
      <c r="B21" s="6" t="s">
        <v>104</v>
      </c>
      <c r="C21" s="6" t="s">
        <v>88</v>
      </c>
      <c r="D21" s="6">
        <v>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patel</cp:lastModifiedBy>
  <dcterms:created xsi:type="dcterms:W3CDTF">2026-03-18T08:30:59Z</dcterms:created>
  <dcterms:modified xsi:type="dcterms:W3CDTF">2026-03-18T10:04:47Z</dcterms:modified>
</cp:coreProperties>
</file>